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hp\Downloads\"/>
    </mc:Choice>
  </mc:AlternateContent>
  <xr:revisionPtr revIDLastSave="0" documentId="8_{74360078-011B-41ED-91DB-598B235EFD49}" xr6:coauthVersionLast="47" xr6:coauthVersionMax="47" xr10:uidLastSave="{00000000-0000-0000-0000-000000000000}"/>
  <bookViews>
    <workbookView xWindow="768" yWindow="768" windowWidth="21600" windowHeight="11100" activeTab="2" xr2:uid="{3189BCD9-4D59-4239-83EC-05595F08E958}"/>
  </bookViews>
  <sheets>
    <sheet name="Capacity Table" sheetId="1" r:id="rId1"/>
    <sheet name="Power Table" sheetId="4" r:id="rId2"/>
    <sheet name="Mass Flow Rate Table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B2" i="3"/>
  <c r="B3" i="4"/>
  <c r="B2" i="4"/>
</calcChain>
</file>

<file path=xl/sharedStrings.xml><?xml version="1.0" encoding="utf-8"?>
<sst xmlns="http://schemas.openxmlformats.org/spreadsheetml/2006/main" count="18" uniqueCount="8">
  <si>
    <t xml:space="preserve">Number of Row </t>
  </si>
  <si>
    <t>Number of Column</t>
  </si>
  <si>
    <t>Fixed Speed Performance Table</t>
  </si>
  <si>
    <t>Condensing Temp</t>
  </si>
  <si>
    <t>Evaporating Temp</t>
  </si>
  <si>
    <t>Capacity</t>
  </si>
  <si>
    <t>Mass Flow Rate</t>
  </si>
  <si>
    <t>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</si>
</sst>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i/>
      <sz val="20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DCE6F1"/>
        <bgColor indexed="64"/>
      </patternFill>
    </fill>
    <fill>
      <patternFill patternType="solid">
        <fgColor rgb="FF82D0E7"/>
        <bgColor indexed="64"/>
      </patternFill>
    </fill>
    <fill>
      <patternFill patternType="solid">
        <fgColor rgb="FF3280E7"/>
        <bgColor indexed="64"/>
      </patternFill>
    </fill>
    <fill>
      <patternFill patternType="solid">
        <fgColor rgb="FF0AB41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3" fillId="0" borderId="1" xfId="0" applyFont="1" applyBorder="1"/>
    <xf numFmtId="0" fontId="3" fillId="2" borderId="1" xfId="0" applyFont="1" applyFill="1" applyBorder="1"/>
    <xf numFmtId="0" fontId="2" fillId="0" borderId="1" xfId="0" applyFont="1" applyBorder="1"/>
    <xf numFmtId="0" fontId="3" fillId="4" borderId="2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1</xdr:row>
          <xdr:rowOff>38100</xdr:rowOff>
        </xdr:from>
        <xdr:to>
          <xdr:col>4</xdr:col>
          <xdr:colOff>586740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CE9DD-B953-45CC-8ECF-9B0F5725ABC6}">
  <sheetPr codeName="Sheet1"/>
  <dimension ref="A1:K14"/>
  <sheetViews>
    <sheetView topLeftCell="A3" zoomScale="89" zoomScaleNormal="100" workbookViewId="0">
      <selection activeCell="K25" sqref="K25"/>
    </sheetView>
  </sheetViews>
  <sheetFormatPr defaultRowHeight="15.6" x14ac:dyDescent="0.3"/>
  <cols>
    <col min="1" max="1" width="22" style="1" bestFit="1" customWidth="1"/>
    <col min="2" max="16384" width="8.88671875" style="1"/>
  </cols>
  <sheetData>
    <row r="1" spans="1:11" ht="24.6" x14ac:dyDescent="0.4">
      <c r="A1" s="8" t="s">
        <v>2</v>
      </c>
      <c r="B1" s="8"/>
      <c r="C1" s="8"/>
      <c r="D1" s="8"/>
      <c r="E1" s="8"/>
      <c r="F1" s="8"/>
      <c r="G1" s="8"/>
      <c r="H1" s="8"/>
    </row>
    <row r="2" spans="1:11" x14ac:dyDescent="0.3">
      <c r="A2" s="2" t="s">
        <v>0</v>
      </c>
      <c r="B2" s="2">
        <v>9</v>
      </c>
    </row>
    <row r="3" spans="1:11" x14ac:dyDescent="0.3">
      <c r="A3" s="2" t="s">
        <v>1</v>
      </c>
      <c r="B3" s="2">
        <v>9</v>
      </c>
    </row>
    <row r="4" spans="1:11" x14ac:dyDescent="0.3">
      <c r="A4" s="5" t="s">
        <v>5</v>
      </c>
      <c r="B4" s="5"/>
      <c r="C4" s="9" t="s">
        <v>4</v>
      </c>
      <c r="D4" s="9"/>
      <c r="E4" s="9"/>
      <c r="F4" s="9"/>
      <c r="G4" s="9"/>
      <c r="H4" s="9"/>
      <c r="I4" s="9"/>
      <c r="J4" s="9"/>
      <c r="K4" s="9"/>
    </row>
    <row r="5" spans="1:11" x14ac:dyDescent="0.3">
      <c r="A5" s="6"/>
      <c r="B5" s="7"/>
      <c r="C5" s="3">
        <v>-10</v>
      </c>
      <c r="D5" s="3">
        <v>0</v>
      </c>
      <c r="E5" s="3">
        <v>5</v>
      </c>
      <c r="F5" s="3">
        <v>15</v>
      </c>
      <c r="G5" s="3">
        <v>25</v>
      </c>
      <c r="H5" s="3">
        <v>35</v>
      </c>
      <c r="I5" s="3">
        <v>45</v>
      </c>
      <c r="J5" s="3">
        <v>50</v>
      </c>
      <c r="K5" s="3">
        <v>55</v>
      </c>
    </row>
    <row r="6" spans="1:11" x14ac:dyDescent="0.3">
      <c r="A6" s="10" t="s">
        <v>3</v>
      </c>
      <c r="B6" s="3">
        <v>150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25732.708089097305</v>
      </c>
      <c r="J6" s="4">
        <v>28399.76553341149</v>
      </c>
      <c r="K6" s="4">
        <v>31359.906213364597</v>
      </c>
    </row>
    <row r="7" spans="1:11" x14ac:dyDescent="0.3">
      <c r="A7" s="10"/>
      <c r="B7" s="3">
        <v>140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23241.500586166472</v>
      </c>
      <c r="I7" s="4">
        <v>28341.148886283707</v>
      </c>
      <c r="J7" s="4">
        <v>31213.364595545136</v>
      </c>
      <c r="K7" s="4">
        <v>34290.738569753812</v>
      </c>
    </row>
    <row r="8" spans="1:11" x14ac:dyDescent="0.3">
      <c r="A8" s="10"/>
      <c r="B8" s="3">
        <v>130</v>
      </c>
      <c r="C8" s="4">
        <v>0</v>
      </c>
      <c r="D8" s="4">
        <v>0</v>
      </c>
      <c r="E8" s="4">
        <v>0</v>
      </c>
      <c r="F8" s="4">
        <v>0</v>
      </c>
      <c r="G8" s="4">
        <v>20720.984759671748</v>
      </c>
      <c r="H8" s="4">
        <v>25322.391559202813</v>
      </c>
      <c r="I8" s="4">
        <v>30773.739742086753</v>
      </c>
      <c r="J8" s="4">
        <v>33851.113716295426</v>
      </c>
      <c r="K8" s="4">
        <v>37221.570926143024</v>
      </c>
    </row>
    <row r="9" spans="1:11" x14ac:dyDescent="0.3">
      <c r="A9" s="10"/>
      <c r="B9" s="3">
        <v>125</v>
      </c>
      <c r="C9" s="4">
        <v>0</v>
      </c>
      <c r="D9" s="4">
        <v>0</v>
      </c>
      <c r="E9" s="4">
        <v>0</v>
      </c>
      <c r="F9" s="4">
        <v>17497.069167643611</v>
      </c>
      <c r="G9" s="4">
        <v>21541.617819460727</v>
      </c>
      <c r="H9" s="4">
        <v>26318.874560375149</v>
      </c>
      <c r="I9" s="4">
        <v>31946.07268464244</v>
      </c>
      <c r="J9" s="4">
        <v>35169.988276670578</v>
      </c>
      <c r="K9" s="4">
        <v>38540.445486518169</v>
      </c>
    </row>
    <row r="10" spans="1:11" x14ac:dyDescent="0.3">
      <c r="A10" s="10"/>
      <c r="B10" s="3">
        <v>115</v>
      </c>
      <c r="C10" s="4">
        <v>0</v>
      </c>
      <c r="D10" s="4">
        <v>0</v>
      </c>
      <c r="E10" s="4">
        <v>15064.478311840563</v>
      </c>
      <c r="F10" s="4">
        <v>18786.635404454864</v>
      </c>
      <c r="G10" s="4">
        <v>23094.958968347011</v>
      </c>
      <c r="H10" s="4">
        <v>28194.607268464246</v>
      </c>
      <c r="I10" s="4">
        <v>34144.196951934347</v>
      </c>
      <c r="J10" s="4">
        <v>37514.654161781946</v>
      </c>
      <c r="K10" s="4">
        <v>41178.194607268466</v>
      </c>
    </row>
    <row r="11" spans="1:11" x14ac:dyDescent="0.3">
      <c r="A11" s="10"/>
      <c r="B11" s="3">
        <v>105</v>
      </c>
      <c r="C11" s="4">
        <v>0</v>
      </c>
      <c r="D11" s="4">
        <v>14273.153575615475</v>
      </c>
      <c r="E11" s="4">
        <v>16060.961313012896</v>
      </c>
      <c r="F11" s="4">
        <v>19988.276670574443</v>
      </c>
      <c r="G11" s="4">
        <v>24618.991793669404</v>
      </c>
      <c r="H11" s="4">
        <v>30041.031652989448</v>
      </c>
      <c r="I11" s="4">
        <v>36342.321219226258</v>
      </c>
      <c r="J11" s="4">
        <v>39859.320046893321</v>
      </c>
      <c r="K11" s="4">
        <v>43815.943728018756</v>
      </c>
    </row>
    <row r="12" spans="1:11" x14ac:dyDescent="0.3">
      <c r="A12" s="10"/>
      <c r="B12" s="3">
        <v>100</v>
      </c>
      <c r="C12" s="4">
        <v>11430.246189917936</v>
      </c>
      <c r="D12" s="4">
        <v>14712.778429073858</v>
      </c>
      <c r="E12" s="4">
        <v>16529.894490035171</v>
      </c>
      <c r="F12" s="4">
        <v>20603.751465416179</v>
      </c>
      <c r="G12" s="4">
        <v>25351.699882766705</v>
      </c>
      <c r="H12" s="4">
        <v>30920.281359906214</v>
      </c>
      <c r="I12" s="4">
        <v>37368.112543962488</v>
      </c>
      <c r="J12" s="4">
        <v>41031.652989449001</v>
      </c>
      <c r="K12" s="4">
        <v>44988.276670574443</v>
      </c>
    </row>
    <row r="13" spans="1:11" x14ac:dyDescent="0.3">
      <c r="A13" s="10"/>
      <c r="B13" s="3">
        <v>90</v>
      </c>
      <c r="C13" s="4">
        <v>12075.029308323565</v>
      </c>
      <c r="D13" s="4">
        <v>15562.719812426729</v>
      </c>
      <c r="E13" s="4">
        <v>17467.760844079719</v>
      </c>
      <c r="F13" s="4">
        <v>21776.084407971866</v>
      </c>
      <c r="G13" s="4">
        <v>26787.807737397423</v>
      </c>
      <c r="H13" s="4">
        <v>32678.780773739742</v>
      </c>
      <c r="I13" s="4">
        <v>39566.236811254399</v>
      </c>
      <c r="J13" s="4">
        <v>43376.318874560377</v>
      </c>
      <c r="K13" s="4">
        <v>47479.484173505276</v>
      </c>
    </row>
    <row r="14" spans="1:11" x14ac:dyDescent="0.3">
      <c r="A14" s="10"/>
      <c r="B14" s="3">
        <v>80</v>
      </c>
      <c r="C14" s="4">
        <v>12778.429073856976</v>
      </c>
      <c r="D14" s="4">
        <v>16441.969519343493</v>
      </c>
      <c r="E14" s="4">
        <v>18464.243845252051</v>
      </c>
      <c r="F14" s="4">
        <v>22977.725674091442</v>
      </c>
      <c r="G14" s="4">
        <v>28253.223915592029</v>
      </c>
      <c r="H14" s="4">
        <v>34437.280187573269</v>
      </c>
      <c r="I14" s="4">
        <v>41617.819460726845</v>
      </c>
      <c r="J14" s="4">
        <v>45574.443141852287</v>
      </c>
      <c r="K14" s="4">
        <v>49824.150058616651</v>
      </c>
    </row>
  </sheetData>
  <mergeCells count="4">
    <mergeCell ref="A4:B5"/>
    <mergeCell ref="A1:H1"/>
    <mergeCell ref="C4:K4"/>
    <mergeCell ref="A6:A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Capacity">
                <anchor moveWithCells="1" sizeWithCells="1">
                  <from>
                    <xdr:col>2</xdr:col>
                    <xdr:colOff>167640</xdr:colOff>
                    <xdr:row>1</xdr:row>
                    <xdr:rowOff>38100</xdr:rowOff>
                  </from>
                  <to>
                    <xdr:col>4</xdr:col>
                    <xdr:colOff>586740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BE5A0-60A3-4286-B5D1-ED090C143FAD}">
  <sheetPr codeName="Sheet2"/>
  <dimension ref="A1:K106"/>
  <sheetViews>
    <sheetView workbookViewId="0">
      <selection sqref="A1:H1"/>
    </sheetView>
  </sheetViews>
  <sheetFormatPr defaultRowHeight="15.6" x14ac:dyDescent="0.3"/>
  <cols>
    <col min="1" max="1" width="21.44140625" style="1" customWidth="1"/>
    <col min="2" max="16384" width="8.88671875" style="1"/>
  </cols>
  <sheetData>
    <row r="1" spans="1:11" ht="24.6" x14ac:dyDescent="0.4">
      <c r="A1" s="8" t="s">
        <v>2</v>
      </c>
      <c r="B1" s="8"/>
      <c r="C1" s="8"/>
      <c r="D1" s="8"/>
      <c r="E1" s="8"/>
      <c r="F1" s="8"/>
      <c r="G1" s="8"/>
      <c r="H1" s="8"/>
    </row>
    <row r="2" spans="1:11" x14ac:dyDescent="0.3">
      <c r="A2" s="2" t="s">
        <v>0</v>
      </c>
      <c r="B2" s="2">
        <f>'Capacity Table'!B2</f>
        <v>9</v>
      </c>
    </row>
    <row r="3" spans="1:11" x14ac:dyDescent="0.3">
      <c r="A3" s="2" t="s">
        <v>1</v>
      </c>
      <c r="B3" s="2">
        <f>'Capacity Table'!B3</f>
        <v>9</v>
      </c>
    </row>
    <row r="4" spans="1:11" x14ac:dyDescent="0.3">
      <c r="A4" s="5" t="s">
        <v>7</v>
      </c>
      <c r="B4" s="5"/>
      <c r="C4" s="9" t="s">
        <v>4</v>
      </c>
      <c r="D4" s="9"/>
      <c r="E4" s="9"/>
      <c r="F4" s="9"/>
      <c r="G4" s="9"/>
      <c r="H4" s="9"/>
      <c r="I4" s="9"/>
      <c r="J4" s="9"/>
      <c r="K4" s="9"/>
    </row>
    <row r="5" spans="1:11" x14ac:dyDescent="0.3">
      <c r="A5" s="6"/>
      <c r="B5" s="7"/>
      <c r="C5" s="3">
        <v>-10</v>
      </c>
      <c r="D5" s="3">
        <v>0</v>
      </c>
      <c r="E5" s="3">
        <v>5</v>
      </c>
      <c r="F5" s="3">
        <v>15</v>
      </c>
      <c r="G5" s="3">
        <v>25</v>
      </c>
      <c r="H5" s="3">
        <v>35</v>
      </c>
      <c r="I5" s="3">
        <v>45</v>
      </c>
      <c r="J5" s="3">
        <v>50</v>
      </c>
      <c r="K5" s="3">
        <v>55</v>
      </c>
    </row>
    <row r="6" spans="1:11" x14ac:dyDescent="0.3">
      <c r="A6" s="10" t="s">
        <v>3</v>
      </c>
      <c r="B6" s="3">
        <v>150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11800</v>
      </c>
      <c r="J6" s="4">
        <v>11800</v>
      </c>
      <c r="K6" s="4">
        <v>11800</v>
      </c>
    </row>
    <row r="7" spans="1:11" x14ac:dyDescent="0.3">
      <c r="A7" s="10"/>
      <c r="B7" s="3">
        <v>140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10450</v>
      </c>
      <c r="I7" s="4">
        <v>10450</v>
      </c>
      <c r="J7" s="4">
        <v>10450</v>
      </c>
      <c r="K7" s="4">
        <v>10450</v>
      </c>
    </row>
    <row r="8" spans="1:11" x14ac:dyDescent="0.3">
      <c r="A8" s="10"/>
      <c r="B8" s="3">
        <v>130</v>
      </c>
      <c r="C8" s="4">
        <v>0</v>
      </c>
      <c r="D8" s="4">
        <v>0</v>
      </c>
      <c r="E8" s="4">
        <v>0</v>
      </c>
      <c r="F8" s="4">
        <v>0</v>
      </c>
      <c r="G8" s="4">
        <v>9160</v>
      </c>
      <c r="H8" s="4">
        <v>9240</v>
      </c>
      <c r="I8" s="4">
        <v>9280</v>
      </c>
      <c r="J8" s="4">
        <v>9280</v>
      </c>
      <c r="K8" s="4">
        <v>9280</v>
      </c>
    </row>
    <row r="9" spans="1:11" x14ac:dyDescent="0.3">
      <c r="A9" s="10"/>
      <c r="B9" s="3">
        <v>125</v>
      </c>
      <c r="C9" s="4">
        <v>0</v>
      </c>
      <c r="D9" s="4">
        <v>0</v>
      </c>
      <c r="E9" s="4">
        <v>0</v>
      </c>
      <c r="F9" s="4">
        <v>8510</v>
      </c>
      <c r="G9" s="4">
        <v>8630</v>
      </c>
      <c r="H9" s="4">
        <v>8700</v>
      </c>
      <c r="I9" s="4">
        <v>8740</v>
      </c>
      <c r="J9" s="4">
        <v>8760</v>
      </c>
      <c r="K9" s="4">
        <v>8760</v>
      </c>
    </row>
    <row r="10" spans="1:11" x14ac:dyDescent="0.3">
      <c r="A10" s="10"/>
      <c r="B10" s="3">
        <v>115</v>
      </c>
      <c r="C10" s="4">
        <v>0</v>
      </c>
      <c r="D10" s="4">
        <v>0</v>
      </c>
      <c r="E10" s="4">
        <v>7450</v>
      </c>
      <c r="F10" s="4">
        <v>7570</v>
      </c>
      <c r="G10" s="4">
        <v>7660</v>
      </c>
      <c r="H10" s="4">
        <v>7720</v>
      </c>
      <c r="I10" s="4">
        <v>7780</v>
      </c>
      <c r="J10" s="4">
        <v>7810</v>
      </c>
      <c r="K10" s="4">
        <v>7850</v>
      </c>
    </row>
    <row r="11" spans="1:11" x14ac:dyDescent="0.3">
      <c r="A11" s="10"/>
      <c r="B11" s="3">
        <v>105</v>
      </c>
      <c r="C11" s="4">
        <v>0</v>
      </c>
      <c r="D11" s="4">
        <v>6600</v>
      </c>
      <c r="E11" s="4">
        <v>6640</v>
      </c>
      <c r="F11" s="4">
        <v>6720</v>
      </c>
      <c r="G11" s="4">
        <v>6800</v>
      </c>
      <c r="H11" s="4">
        <v>6870</v>
      </c>
      <c r="I11" s="4">
        <v>6970</v>
      </c>
      <c r="J11" s="4">
        <v>7020</v>
      </c>
      <c r="K11" s="4">
        <v>7080</v>
      </c>
    </row>
    <row r="12" spans="1:11" x14ac:dyDescent="0.3">
      <c r="A12" s="10"/>
      <c r="B12" s="3">
        <v>100</v>
      </c>
      <c r="C12" s="4">
        <v>6160</v>
      </c>
      <c r="D12" s="4">
        <v>6240</v>
      </c>
      <c r="E12" s="4">
        <v>6270</v>
      </c>
      <c r="F12" s="4">
        <v>6330</v>
      </c>
      <c r="G12" s="4">
        <v>6400</v>
      </c>
      <c r="H12" s="4">
        <v>6490</v>
      </c>
      <c r="I12" s="4">
        <v>6610</v>
      </c>
      <c r="J12" s="4">
        <v>6680</v>
      </c>
      <c r="K12" s="4">
        <v>6760</v>
      </c>
    </row>
    <row r="13" spans="1:11" x14ac:dyDescent="0.3">
      <c r="A13" s="10"/>
      <c r="B13" s="3">
        <v>90</v>
      </c>
      <c r="C13" s="4">
        <v>5530</v>
      </c>
      <c r="D13" s="4">
        <v>5550</v>
      </c>
      <c r="E13" s="4">
        <v>5570</v>
      </c>
      <c r="F13" s="4">
        <v>5610</v>
      </c>
      <c r="G13" s="4">
        <v>5690</v>
      </c>
      <c r="H13" s="4">
        <v>5810</v>
      </c>
      <c r="I13" s="4">
        <v>5980</v>
      </c>
      <c r="J13" s="4">
        <v>6080</v>
      </c>
      <c r="K13" s="4">
        <v>6210</v>
      </c>
    </row>
    <row r="14" spans="1:11" x14ac:dyDescent="0.3">
      <c r="A14" s="10"/>
      <c r="B14" s="3">
        <v>80</v>
      </c>
      <c r="C14" s="4">
        <v>4930</v>
      </c>
      <c r="D14" s="4">
        <v>4910</v>
      </c>
      <c r="E14" s="4">
        <v>4920</v>
      </c>
      <c r="F14" s="4">
        <v>4970</v>
      </c>
      <c r="G14" s="4">
        <v>5070</v>
      </c>
      <c r="H14" s="4">
        <v>5230</v>
      </c>
      <c r="I14" s="4">
        <v>5470</v>
      </c>
      <c r="J14" s="4">
        <v>5620</v>
      </c>
      <c r="K14" s="4">
        <v>5790</v>
      </c>
    </row>
    <row r="33" s="1" customFormat="1" x14ac:dyDescent="0.3"/>
    <row r="34" s="1" customFormat="1" x14ac:dyDescent="0.3"/>
    <row r="35" s="1" customFormat="1" x14ac:dyDescent="0.3"/>
    <row r="36" s="1" customFormat="1" x14ac:dyDescent="0.3"/>
    <row r="37" s="1" customFormat="1" x14ac:dyDescent="0.3"/>
    <row r="38" s="1" customFormat="1" x14ac:dyDescent="0.3"/>
    <row r="39" s="1" customFormat="1" x14ac:dyDescent="0.3"/>
    <row r="40" s="1" customFormat="1" x14ac:dyDescent="0.3"/>
    <row r="41" s="1" customFormat="1" x14ac:dyDescent="0.3"/>
    <row r="42" s="1" customFormat="1" x14ac:dyDescent="0.3"/>
    <row r="43" s="1" customFormat="1" x14ac:dyDescent="0.3"/>
    <row r="44" s="1" customFormat="1" x14ac:dyDescent="0.3"/>
    <row r="45" s="1" customFormat="1" x14ac:dyDescent="0.3"/>
    <row r="46" s="1" customFormat="1" x14ac:dyDescent="0.3"/>
    <row r="47" s="1" customFormat="1" x14ac:dyDescent="0.3"/>
    <row r="48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="1" customFormat="1" x14ac:dyDescent="0.3"/>
    <row r="82" s="1" customFormat="1" x14ac:dyDescent="0.3"/>
    <row r="83" s="1" customFormat="1" x14ac:dyDescent="0.3"/>
    <row r="84" s="1" customFormat="1" x14ac:dyDescent="0.3"/>
    <row r="85" s="1" customFormat="1" x14ac:dyDescent="0.3"/>
    <row r="86" s="1" customFormat="1" x14ac:dyDescent="0.3"/>
    <row r="87" s="1" customFormat="1" x14ac:dyDescent="0.3"/>
    <row r="88" s="1" customFormat="1" x14ac:dyDescent="0.3"/>
    <row r="89" s="1" customFormat="1" x14ac:dyDescent="0.3"/>
    <row r="90" s="1" customFormat="1" x14ac:dyDescent="0.3"/>
    <row r="91" s="1" customFormat="1" x14ac:dyDescent="0.3"/>
    <row r="92" s="1" customFormat="1" x14ac:dyDescent="0.3"/>
    <row r="93" s="1" customFormat="1" x14ac:dyDescent="0.3"/>
    <row r="94" s="1" customFormat="1" x14ac:dyDescent="0.3"/>
    <row r="95" s="1" customFormat="1" x14ac:dyDescent="0.3"/>
    <row r="96" s="1" customFormat="1" x14ac:dyDescent="0.3"/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</sheetData>
  <mergeCells count="4">
    <mergeCell ref="A1:H1"/>
    <mergeCell ref="A4:B5"/>
    <mergeCell ref="C4:K4"/>
    <mergeCell ref="A6:A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F41E7-C209-4636-96D1-1B8FD87592CE}">
  <sheetPr codeName="Sheet3"/>
  <dimension ref="A1:K14"/>
  <sheetViews>
    <sheetView tabSelected="1" topLeftCell="A4" workbookViewId="0">
      <selection activeCell="E20" sqref="E20"/>
    </sheetView>
  </sheetViews>
  <sheetFormatPr defaultRowHeight="15.6" x14ac:dyDescent="0.3"/>
  <cols>
    <col min="1" max="1" width="22.21875" style="1" customWidth="1"/>
    <col min="2" max="16384" width="8.88671875" style="1"/>
  </cols>
  <sheetData>
    <row r="1" spans="1:11" ht="24.6" x14ac:dyDescent="0.4">
      <c r="A1" s="8" t="s">
        <v>2</v>
      </c>
      <c r="B1" s="8"/>
      <c r="C1" s="8"/>
      <c r="D1" s="8"/>
      <c r="E1" s="8"/>
      <c r="F1" s="8"/>
      <c r="G1" s="8"/>
      <c r="H1" s="8"/>
    </row>
    <row r="2" spans="1:11" x14ac:dyDescent="0.3">
      <c r="A2" s="2" t="s">
        <v>0</v>
      </c>
      <c r="B2" s="2">
        <f>'Capacity Table'!B2</f>
        <v>9</v>
      </c>
    </row>
    <row r="3" spans="1:11" x14ac:dyDescent="0.3">
      <c r="A3" s="2" t="s">
        <v>1</v>
      </c>
      <c r="B3" s="2">
        <f>'Capacity Table'!B3</f>
        <v>9</v>
      </c>
    </row>
    <row r="4" spans="1:11" x14ac:dyDescent="0.3">
      <c r="A4" s="5" t="s">
        <v>6</v>
      </c>
      <c r="B4" s="5"/>
      <c r="C4" s="9" t="s">
        <v>4</v>
      </c>
      <c r="D4" s="9"/>
      <c r="E4" s="9"/>
      <c r="F4" s="9"/>
      <c r="G4" s="9"/>
      <c r="H4" s="9"/>
      <c r="I4" s="9"/>
      <c r="J4" s="9"/>
      <c r="K4" s="9"/>
    </row>
    <row r="5" spans="1:11" x14ac:dyDescent="0.3">
      <c r="A5" s="6"/>
      <c r="B5" s="7"/>
      <c r="C5" s="3">
        <v>-10</v>
      </c>
      <c r="D5" s="3">
        <v>0</v>
      </c>
      <c r="E5" s="3">
        <v>5</v>
      </c>
      <c r="F5" s="3">
        <v>15</v>
      </c>
      <c r="G5" s="3">
        <v>25</v>
      </c>
      <c r="H5" s="3">
        <v>35</v>
      </c>
      <c r="I5" s="3">
        <v>45</v>
      </c>
      <c r="J5" s="3">
        <v>50</v>
      </c>
      <c r="K5" s="3">
        <v>55</v>
      </c>
    </row>
    <row r="6" spans="1:11" x14ac:dyDescent="0.3">
      <c r="A6" s="10" t="s">
        <v>3</v>
      </c>
      <c r="B6" s="3">
        <v>150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539.68253968253964</v>
      </c>
      <c r="J6" s="4">
        <v>592.29024943310651</v>
      </c>
      <c r="K6" s="4">
        <v>649.88662131519277</v>
      </c>
    </row>
    <row r="7" spans="1:11" x14ac:dyDescent="0.3">
      <c r="A7" s="10"/>
      <c r="B7" s="3">
        <v>140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459.41043083900223</v>
      </c>
      <c r="I7" s="4">
        <v>553.7414965986394</v>
      </c>
      <c r="J7" s="4">
        <v>606.80272108843531</v>
      </c>
      <c r="K7" s="4">
        <v>664.39909297052156</v>
      </c>
    </row>
    <row r="8" spans="1:11" x14ac:dyDescent="0.3">
      <c r="A8" s="10"/>
      <c r="B8" s="3">
        <v>130</v>
      </c>
      <c r="C8" s="4">
        <v>0</v>
      </c>
      <c r="D8" s="4">
        <v>0</v>
      </c>
      <c r="E8" s="4">
        <v>0</v>
      </c>
      <c r="F8" s="4">
        <v>0</v>
      </c>
      <c r="G8" s="4">
        <v>389.11564625850338</v>
      </c>
      <c r="H8" s="4">
        <v>470.29478458049886</v>
      </c>
      <c r="I8" s="4">
        <v>565.5328798185941</v>
      </c>
      <c r="J8" s="4">
        <v>619.04761904761904</v>
      </c>
      <c r="K8" s="4">
        <v>677.09750566893422</v>
      </c>
    </row>
    <row r="9" spans="1:11" x14ac:dyDescent="0.3">
      <c r="A9" s="10"/>
      <c r="B9" s="3">
        <v>125</v>
      </c>
      <c r="C9" s="4">
        <v>0</v>
      </c>
      <c r="D9" s="4">
        <v>0</v>
      </c>
      <c r="E9" s="4">
        <v>0</v>
      </c>
      <c r="F9" s="4">
        <v>323.35600907029476</v>
      </c>
      <c r="G9" s="4">
        <v>393.19727891156464</v>
      </c>
      <c r="H9" s="4">
        <v>474.8299319727891</v>
      </c>
      <c r="I9" s="4">
        <v>570.52154195011337</v>
      </c>
      <c r="J9" s="4">
        <v>624.48979591836735</v>
      </c>
      <c r="K9" s="4">
        <v>682.53968253968253</v>
      </c>
    </row>
    <row r="10" spans="1:11" x14ac:dyDescent="0.3">
      <c r="A10" s="10"/>
      <c r="B10" s="3">
        <v>115</v>
      </c>
      <c r="C10" s="4">
        <v>0</v>
      </c>
      <c r="D10" s="4">
        <v>0</v>
      </c>
      <c r="E10" s="4">
        <v>267.12018140589566</v>
      </c>
      <c r="F10" s="4">
        <v>328.79818594104307</v>
      </c>
      <c r="G10" s="4">
        <v>400</v>
      </c>
      <c r="H10" s="4">
        <v>482.99319727891157</v>
      </c>
      <c r="I10" s="4">
        <v>579.59183673469386</v>
      </c>
      <c r="J10" s="4">
        <v>634.01360544217687</v>
      </c>
      <c r="K10" s="4">
        <v>692.51700680272108</v>
      </c>
    </row>
    <row r="11" spans="1:11" x14ac:dyDescent="0.3">
      <c r="A11" s="10"/>
      <c r="B11" s="3">
        <v>105</v>
      </c>
      <c r="C11" s="4">
        <v>0</v>
      </c>
      <c r="D11" s="4">
        <v>242.17687074829931</v>
      </c>
      <c r="E11" s="4">
        <v>270.74829931972789</v>
      </c>
      <c r="F11" s="4">
        <v>333.33333333333331</v>
      </c>
      <c r="G11" s="4">
        <v>405.44217687074831</v>
      </c>
      <c r="H11" s="4">
        <v>489.79591836734693</v>
      </c>
      <c r="I11" s="4">
        <v>587.75510204081627</v>
      </c>
      <c r="J11" s="4">
        <v>642.17687074829928</v>
      </c>
      <c r="K11" s="4">
        <v>701.13378684807253</v>
      </c>
    </row>
    <row r="12" spans="1:11" x14ac:dyDescent="0.3">
      <c r="A12" s="10"/>
      <c r="B12" s="3">
        <v>100</v>
      </c>
      <c r="C12" s="4">
        <v>191.83673469387753</v>
      </c>
      <c r="D12" s="4">
        <v>243.53741496598639</v>
      </c>
      <c r="E12" s="4">
        <v>272.10884353741494</v>
      </c>
      <c r="F12" s="4">
        <v>335.1473922902494</v>
      </c>
      <c r="G12" s="4">
        <v>408.16326530612241</v>
      </c>
      <c r="H12" s="4">
        <v>492.97052154195012</v>
      </c>
      <c r="I12" s="4">
        <v>591.38321995464855</v>
      </c>
      <c r="J12" s="4">
        <v>646.25850340136049</v>
      </c>
      <c r="K12" s="4">
        <v>705.21541950113374</v>
      </c>
    </row>
    <row r="13" spans="1:11" x14ac:dyDescent="0.3">
      <c r="A13" s="10"/>
      <c r="B13" s="3">
        <v>90</v>
      </c>
      <c r="C13" s="4">
        <v>194.10430839002268</v>
      </c>
      <c r="D13" s="4">
        <v>246.71201814058955</v>
      </c>
      <c r="E13" s="4">
        <v>275.28344671201813</v>
      </c>
      <c r="F13" s="4">
        <v>339.22902494331066</v>
      </c>
      <c r="G13" s="4">
        <v>413.15192743764169</v>
      </c>
      <c r="H13" s="4">
        <v>498.86621315192741</v>
      </c>
      <c r="I13" s="4">
        <v>597.73242630385482</v>
      </c>
      <c r="J13" s="4">
        <v>653.0612244897959</v>
      </c>
      <c r="K13" s="4">
        <v>712.47165532879819</v>
      </c>
    </row>
    <row r="14" spans="1:11" x14ac:dyDescent="0.3">
      <c r="A14" s="10"/>
      <c r="B14" s="3">
        <v>80</v>
      </c>
      <c r="C14" s="4">
        <v>196.82539682539681</v>
      </c>
      <c r="D14" s="4">
        <v>249.88662131519274</v>
      </c>
      <c r="E14" s="4">
        <v>278.9115646258503</v>
      </c>
      <c r="F14" s="4">
        <v>343.31065759637187</v>
      </c>
      <c r="G14" s="4">
        <v>418.14058956916097</v>
      </c>
      <c r="H14" s="4">
        <v>504.30839002267572</v>
      </c>
      <c r="I14" s="4">
        <v>604.08163265306121</v>
      </c>
      <c r="J14" s="4">
        <v>659.86394557823132</v>
      </c>
      <c r="K14" s="4">
        <v>719.72789115646253</v>
      </c>
    </row>
  </sheetData>
  <mergeCells count="4">
    <mergeCell ref="A1:H1"/>
    <mergeCell ref="A4:B5"/>
    <mergeCell ref="C4:K4"/>
    <mergeCell ref="A6:A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Capacity Table</vt:lpstr>
      <vt:lpstr>Power Table</vt:lpstr>
      <vt:lpstr>Mass Flow Rate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 Pathade</dc:creator>
  <cp:lastModifiedBy>Yash Pathade</cp:lastModifiedBy>
  <dcterms:created xsi:type="dcterms:W3CDTF">2025-04-06T06:23:54Z</dcterms:created>
  <dcterms:modified xsi:type="dcterms:W3CDTF">2025-05-18T14:16:19Z</dcterms:modified>
</cp:coreProperties>
</file>